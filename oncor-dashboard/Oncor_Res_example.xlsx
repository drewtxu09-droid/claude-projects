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V1S\Desktop\Claude\oncor-dashboard\"/>
    </mc:Choice>
  </mc:AlternateContent>
  <xr:revisionPtr revIDLastSave="0" documentId="8_{50564C28-737E-4D09-9D0A-9270C6BF0B36}" xr6:coauthVersionLast="47" xr6:coauthVersionMax="47" xr10:uidLastSave="{00000000-0000-0000-0000-000000000000}"/>
  <bookViews>
    <workbookView xWindow="-120" yWindow="-120" windowWidth="51840" windowHeight="21120" xr2:uid="{EBFDEBF7-8B87-49C7-9E22-71861DAC73FF}"/>
  </bookViews>
  <sheets>
    <sheet name="Oncor Res" sheetId="1" r:id="rId1"/>
  </sheets>
  <externalReferences>
    <externalReference r:id="rId2"/>
  </externalReferences>
  <definedNames>
    <definedName name="_xlnm.Print_Area" localSheetId="0">'Oncor Res'!$A$1:$T$22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S22" i="1"/>
  <c r="R22" i="1"/>
  <c r="Q22" i="1"/>
  <c r="P22" i="1"/>
  <c r="O22" i="1"/>
  <c r="N22" i="1"/>
  <c r="M22" i="1"/>
  <c r="L22" i="1"/>
  <c r="K22" i="1"/>
  <c r="J22" i="1"/>
  <c r="I22" i="1"/>
  <c r="T21" i="1"/>
  <c r="S21" i="1"/>
  <c r="R21" i="1"/>
  <c r="Q21" i="1"/>
  <c r="P21" i="1"/>
  <c r="O21" i="1"/>
  <c r="N21" i="1"/>
  <c r="M21" i="1"/>
  <c r="L21" i="1"/>
  <c r="K21" i="1"/>
  <c r="J21" i="1"/>
  <c r="I21" i="1"/>
  <c r="D2" i="1"/>
</calcChain>
</file>

<file path=xl/sharedStrings.xml><?xml version="1.0" encoding="utf-8"?>
<sst xmlns="http://schemas.openxmlformats.org/spreadsheetml/2006/main" count="77" uniqueCount="64">
  <si>
    <t>Oncor</t>
  </si>
  <si>
    <t>Rate Class:</t>
  </si>
  <si>
    <t>Residential</t>
  </si>
  <si>
    <t>Pending Changes</t>
  </si>
  <si>
    <t>SAC04 Code</t>
  </si>
  <si>
    <t>SAC04 Descriptions</t>
  </si>
  <si>
    <t>PUC Control Number</t>
  </si>
  <si>
    <t>Notes</t>
  </si>
  <si>
    <t>Pending Amount</t>
  </si>
  <si>
    <t>Date of Change</t>
  </si>
  <si>
    <t>Status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</si>
  <si>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</si>
  <si>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</si>
  <si>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</si>
  <si>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</si>
  <si>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</si>
  <si>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</si>
  <si>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</si>
  <si>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</si>
  <si>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</si>
  <si>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</si>
  <si>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</si>
  <si>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</si>
  <si>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Fixed Charges</t>
  </si>
  <si>
    <t>BAS001</t>
  </si>
  <si>
    <t>Customer Charge</t>
  </si>
  <si>
    <t>May 2026</t>
  </si>
  <si>
    <t>Proposed</t>
  </si>
  <si>
    <t>BAS003</t>
  </si>
  <si>
    <t>Metering Charge</t>
  </si>
  <si>
    <t xml:space="preserve"> Proposed</t>
  </si>
  <si>
    <t>Variable Charges</t>
  </si>
  <si>
    <t>RRR008</t>
  </si>
  <si>
    <t>Interest Savings Refund</t>
  </si>
  <si>
    <t>Expires 12/21/22 (Last ISR expected 12/23)</t>
  </si>
  <si>
    <t>TRN001</t>
  </si>
  <si>
    <t>Transmission System Charge</t>
  </si>
  <si>
    <t>MSC049</t>
  </si>
  <si>
    <t>Rate Case Expense Surcharge</t>
  </si>
  <si>
    <t>Expired 2/24/25</t>
  </si>
  <si>
    <t>DIS001</t>
  </si>
  <si>
    <t>Distribution System Charge</t>
  </si>
  <si>
    <t>MSC025</t>
  </si>
  <si>
    <t>Nuclear Decommissioning Charge (NDC)</t>
  </si>
  <si>
    <t>MSC042</t>
  </si>
  <si>
    <t>Distribution Cost Recovery Factor (DCRF)</t>
  </si>
  <si>
    <t>applications up to 2x each year</t>
  </si>
  <si>
    <t>MSC057</t>
  </si>
  <si>
    <t>Mobile Generation (MG)</t>
  </si>
  <si>
    <r>
      <t>Collected only during</t>
    </r>
    <r>
      <rPr>
        <sz val="10"/>
        <color rgb="FFFF0000"/>
        <rFont val="Arial"/>
        <family val="2"/>
      </rPr>
      <t xml:space="preserve"> </t>
    </r>
    <r>
      <rPr>
        <sz val="10"/>
        <color rgb="FF0070C0"/>
        <rFont val="Arial"/>
        <family val="2"/>
      </rPr>
      <t>December</t>
    </r>
    <r>
      <rPr>
        <sz val="10"/>
        <color rgb="FFFF0000"/>
        <rFont val="Arial"/>
        <family val="2"/>
      </rPr>
      <t xml:space="preserve"> </t>
    </r>
    <r>
      <rPr>
        <sz val="10"/>
        <color rgb="FF0070C0"/>
        <rFont val="Arial"/>
        <family val="2"/>
      </rPr>
      <t>billing period</t>
    </r>
  </si>
  <si>
    <t>TRN002</t>
  </si>
  <si>
    <t>Transmission Cost Recovery Factor (TCRF)</t>
  </si>
  <si>
    <t xml:space="preserve">Resets every Mar 1 &amp; Sept 1   </t>
  </si>
  <si>
    <t>3/1/2026?</t>
  </si>
  <si>
    <t>MSC041</t>
  </si>
  <si>
    <t>Energy Efficiency Cost Recovery Factor (EECRF)</t>
  </si>
  <si>
    <t>Resets each March</t>
  </si>
  <si>
    <t>Approved</t>
  </si>
  <si>
    <t>TOTALS</t>
  </si>
  <si>
    <t xml:space="preserve"> </t>
  </si>
  <si>
    <t>Fixed Charges (per customer)</t>
  </si>
  <si>
    <t>Variable Charges (per kWh consumption)</t>
  </si>
  <si>
    <t>55190 replacing 54817 with updated values</t>
  </si>
  <si>
    <t>Mobile gen values included w/Sept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</si>
</sst>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&quot;$&quot;* #,##0.000000_);_(&quot;$&quot;* \(#,##0.000000\);_(&quot;$&quot;* &quot;-&quot;??????_);_(@_)"/>
    <numFmt numFmtId="165" formatCode="&quot;$&quot;#,##0.00"/>
    <numFmt numFmtId="166" formatCode="0.0000"/>
    <numFmt numFmtId="167" formatCode="_(&quot;$&quot;* #,##0.0000000_);_(&quot;$&quot;* \(#,##0.0000000\);_(&quot;$&quot;* &quot;-&quot;??????_);_(@_)"/>
    <numFmt numFmtId="168" formatCode="_(&quot;$&quot;* #,##0.000000_);_(&quot;$&quot;* \(#,##0.000000\);_(&quot;$&quot;* &quot;-&quot;??_);_(@_)"/>
  </numFmts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3" borderId="2" xfId="0" applyFont="1" applyFill="1" applyBorder="1"/>
    <xf numFmtId="0" fontId="1" fillId="3" borderId="3" xfId="0" applyFont="1" applyFill="1" applyBorder="1" applyAlignment="1">
      <alignment wrapText="1"/>
    </xf>
    <xf numFmtId="14" fontId="0" fillId="0" borderId="0" xfId="0" applyNumberFormat="1" applyAlignment="1">
      <alignment wrapText="1"/>
    </xf>
    <xf numFmtId="44" fontId="0" fillId="4" borderId="4" xfId="0" applyNumberFormat="1" applyFill="1" applyBorder="1" applyAlignment="1">
      <alignment horizontal="center" wrapText="1"/>
    </xf>
    <xf numFmtId="0" fontId="1" fillId="4" borderId="5" xfId="0" applyFont="1" applyFill="1" applyBorder="1" applyAlignment="1">
      <alignment horizontal="left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44" fontId="1" fillId="4" borderId="7" xfId="0" applyNumberFormat="1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164" fontId="1" fillId="2" borderId="7" xfId="0" applyNumberFormat="1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2" borderId="7" xfId="0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44" fontId="1" fillId="5" borderId="7" xfId="0" applyNumberFormat="1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164" fontId="0" fillId="2" borderId="7" xfId="0" applyNumberFormat="1" applyFill="1" applyBorder="1" applyAlignment="1">
      <alignment horizontal="right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165" fontId="3" fillId="4" borderId="7" xfId="0" applyNumberFormat="1" applyFont="1" applyFill="1" applyBorder="1" applyAlignment="1">
      <alignment horizontal="center" wrapText="1"/>
    </xf>
    <xf numFmtId="49" fontId="4" fillId="4" borderId="7" xfId="0" applyNumberFormat="1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44" fontId="3" fillId="0" borderId="7" xfId="0" applyNumberFormat="1" applyFont="1" applyBorder="1" applyAlignment="1">
      <alignment horizontal="right" wrapText="1"/>
    </xf>
    <xf numFmtId="44" fontId="0" fillId="0" borderId="7" xfId="0" applyNumberFormat="1" applyBorder="1" applyAlignment="1">
      <alignment horizontal="right" wrapText="1"/>
    </xf>
    <xf numFmtId="44" fontId="0" fillId="6" borderId="7" xfId="0" applyNumberFormat="1" applyFill="1" applyBorder="1" applyAlignment="1">
      <alignment horizontal="right" wrapText="1"/>
    </xf>
    <xf numFmtId="44" fontId="0" fillId="7" borderId="7" xfId="0" applyNumberFormat="1" applyFill="1" applyBorder="1" applyAlignment="1">
      <alignment horizontal="right" wrapText="1"/>
    </xf>
    <xf numFmtId="165" fontId="4" fillId="4" borderId="7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44" fontId="3" fillId="0" borderId="0" xfId="0" applyNumberFormat="1" applyFont="1" applyAlignment="1">
      <alignment horizontal="center" wrapText="1"/>
    </xf>
    <xf numFmtId="164" fontId="0" fillId="6" borderId="0" xfId="0" applyNumberFormat="1" applyFill="1" applyAlignment="1">
      <alignment horizontal="right" wrapText="1"/>
    </xf>
    <xf numFmtId="166" fontId="0" fillId="0" borderId="0" xfId="0" applyNumberFormat="1"/>
    <xf numFmtId="0" fontId="3" fillId="2" borderId="7" xfId="0" applyFont="1" applyFill="1" applyBorder="1" applyAlignment="1">
      <alignment wrapText="1"/>
    </xf>
    <xf numFmtId="164" fontId="3" fillId="4" borderId="7" xfId="0" applyNumberFormat="1" applyFont="1" applyFill="1" applyBorder="1" applyAlignment="1">
      <alignment horizontal="center" wrapText="1"/>
    </xf>
    <xf numFmtId="14" fontId="3" fillId="4" borderId="7" xfId="0" applyNumberFormat="1" applyFont="1" applyFill="1" applyBorder="1" applyAlignment="1">
      <alignment horizontal="center" wrapText="1"/>
    </xf>
    <xf numFmtId="164" fontId="0" fillId="0" borderId="7" xfId="0" applyNumberFormat="1" applyBorder="1" applyAlignment="1">
      <alignment horizontal="right" wrapText="1"/>
    </xf>
    <xf numFmtId="164" fontId="3" fillId="0" borderId="7" xfId="0" applyNumberFormat="1" applyFont="1" applyBorder="1" applyAlignment="1">
      <alignment horizontal="right" wrapText="1"/>
    </xf>
    <xf numFmtId="164" fontId="3" fillId="6" borderId="7" xfId="0" applyNumberFormat="1" applyFont="1" applyFill="1" applyBorder="1" applyAlignment="1">
      <alignment horizontal="right" wrapText="1"/>
    </xf>
    <xf numFmtId="164" fontId="0" fillId="6" borderId="7" xfId="0" applyNumberFormat="1" applyFill="1" applyBorder="1" applyAlignment="1">
      <alignment horizontal="right" wrapText="1"/>
    </xf>
    <xf numFmtId="0" fontId="4" fillId="0" borderId="7" xfId="0" applyFont="1" applyBorder="1" applyAlignment="1">
      <alignment wrapText="1"/>
    </xf>
    <xf numFmtId="167" fontId="4" fillId="4" borderId="7" xfId="0" applyNumberFormat="1" applyFont="1" applyFill="1" applyBorder="1" applyAlignment="1">
      <alignment horizontal="right" wrapText="1"/>
    </xf>
    <xf numFmtId="164" fontId="0" fillId="7" borderId="7" xfId="0" applyNumberFormat="1" applyFill="1" applyBorder="1" applyAlignment="1">
      <alignment horizontal="right" wrapText="1"/>
    </xf>
    <xf numFmtId="168" fontId="4" fillId="4" borderId="7" xfId="0" applyNumberFormat="1" applyFont="1" applyFill="1" applyBorder="1" applyAlignment="1">
      <alignment horizontal="center" wrapText="1"/>
    </xf>
    <xf numFmtId="44" fontId="3" fillId="4" borderId="7" xfId="1" applyFont="1" applyFill="1" applyBorder="1" applyAlignment="1">
      <alignment horizontal="center" wrapText="1"/>
    </xf>
    <xf numFmtId="14" fontId="4" fillId="4" borderId="7" xfId="0" applyNumberFormat="1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3" fillId="0" borderId="0" xfId="0" applyFont="1"/>
    <xf numFmtId="0" fontId="5" fillId="0" borderId="7" xfId="0" applyFont="1" applyBorder="1" applyAlignment="1">
      <alignment wrapText="1"/>
    </xf>
    <xf numFmtId="168" fontId="3" fillId="4" borderId="7" xfId="0" applyNumberFormat="1" applyFont="1" applyFill="1" applyBorder="1" applyAlignment="1">
      <alignment horizontal="center" wrapText="1"/>
    </xf>
    <xf numFmtId="164" fontId="3" fillId="8" borderId="7" xfId="0" applyNumberFormat="1" applyFont="1" applyFill="1" applyBorder="1" applyAlignment="1">
      <alignment horizontal="right" wrapText="1"/>
    </xf>
    <xf numFmtId="168" fontId="3" fillId="9" borderId="7" xfId="0" applyNumberFormat="1" applyFont="1" applyFill="1" applyBorder="1" applyAlignment="1">
      <alignment horizontal="center" wrapText="1"/>
    </xf>
    <xf numFmtId="168" fontId="3" fillId="4" borderId="7" xfId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8" xfId="0" applyFont="1" applyBorder="1"/>
    <xf numFmtId="4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6" fillId="0" borderId="0" xfId="0" applyFont="1"/>
    <xf numFmtId="0" fontId="1" fillId="0" borderId="4" xfId="0" applyFont="1" applyBorder="1"/>
    <xf numFmtId="44" fontId="0" fillId="0" borderId="9" xfId="0" applyNumberFormat="1" applyBorder="1" applyAlignment="1">
      <alignment horizontal="center"/>
    </xf>
    <xf numFmtId="44" fontId="1" fillId="0" borderId="1" xfId="0" applyNumberFormat="1" applyFont="1" applyBorder="1" applyAlignment="1">
      <alignment horizontal="right" wrapText="1"/>
    </xf>
    <xf numFmtId="44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1" fillId="0" borderId="10" xfId="0" applyNumberFormat="1" applyFont="1" applyBorder="1" applyAlignment="1">
      <alignment horizontal="right" wrapText="1"/>
    </xf>
    <xf numFmtId="44" fontId="0" fillId="0" borderId="0" xfId="0" applyNumberForma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wrapText="1"/>
    </xf>
    <xf numFmtId="44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ATE%20MANAGEMENT\zSMB\TDUTrackerDatabase\Trackers\Copy%20of%20TDSP%20Tariff%20Tracker%202026%20March_TNMP_20260304.xlsm" TargetMode="External"/><Relationship Id="rId1" Type="http://schemas.openxmlformats.org/officeDocument/2006/relationships/externalLinkPath" Target="file:///Y:\RATE%20MANAGEMENT\zSMB\TDUTrackerDatabase\Trackers\Copy%20of%20TDSP%20Tariff%20Tracker%202026%20March_TNMP_202603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er at a glance"/>
      <sheetName val="Summary of Changes"/>
      <sheetName val="Demand Values Matrix"/>
      <sheetName val="TDU Proration update"/>
      <sheetName val="SAC04"/>
      <sheetName val="TDSP Base Rate Case Updates"/>
      <sheetName val="Discretionary Service Charges"/>
      <sheetName val="TDSP Residential Rate Summary"/>
      <sheetName val="Oncor Res"/>
      <sheetName val="CNP Res"/>
      <sheetName val="TNMP Res"/>
      <sheetName val="AEP-TCC Res"/>
      <sheetName val="AEP-TNC Res"/>
      <sheetName val="LPL Res"/>
      <sheetName val="Monthly RES Averages"/>
      <sheetName val="Historical RES TDU charges"/>
      <sheetName val="TDSP Sec &lt;= 10 kW Rate Summary"/>
      <sheetName val="Oncor Sec &lt;= 10"/>
      <sheetName val="CNP Sec &lt;= 10"/>
      <sheetName val="TNMP Sec &lt;= 5"/>
      <sheetName val="AEP-TCC Sec &lt;= 10"/>
      <sheetName val="AEP-TNC Sec &lt;= 10"/>
      <sheetName val="LPL Sec &lt;= 10"/>
      <sheetName val="TDSP Sec &gt; 10 kw NonIDR Summary"/>
      <sheetName val="Oncor Sec &gt; 10 Non-IDR"/>
      <sheetName val="CNP Sec &gt; 10 Non-IDR"/>
      <sheetName val="TNMP Sec &gt; 5 Non-IDR"/>
      <sheetName val="AEP-TCC Sec &gt; 10 Non-IDR"/>
      <sheetName val="AEP-TNC Sec &gt; 10 Non-IDR"/>
      <sheetName val="LPL Sec &gt; 10 Non-IDR"/>
      <sheetName val="TDSP Sec &gt; 10 kw IDR Summary"/>
      <sheetName val="Oncor Sec &gt; 10 IDR"/>
      <sheetName val="CNP Sec &gt; 10 IDR"/>
      <sheetName val="TNMP Sec &gt; 5 IDR"/>
      <sheetName val="AEP-TCC Sec &gt; 10 IDR"/>
      <sheetName val="AEP-TNC Sec &gt; 10 IDR"/>
      <sheetName val="LPL Sec &gt; 10 IDR"/>
      <sheetName val="TDSP Primary NIDR Summary"/>
      <sheetName val="Oncor Primary &lt;= 10 kW NIDR"/>
      <sheetName val="Oncor Primary &gt; 10 kW NIDR"/>
      <sheetName val="CNP Primary NIDR"/>
      <sheetName val="TNMP Primary NIDR"/>
      <sheetName val="AEP-TCC Primary NIDR"/>
      <sheetName val="AEP-TNC Primary NIDR"/>
      <sheetName val=" LPL Primary NIDR"/>
      <sheetName val="TDSP Primary IDR Summary"/>
      <sheetName val="Oncor Primary &gt;10 kW IDR"/>
      <sheetName val="CNP Primary IDR"/>
      <sheetName val="TNMP Primary IDR"/>
      <sheetName val="AEP-TCC Primary IDR"/>
      <sheetName val="AEP-TNC Primary IDR"/>
      <sheetName val="LPL Primary IDR"/>
      <sheetName val="TDSP Transmission Summary"/>
      <sheetName val="Oncor Transmission"/>
      <sheetName val="CNP Transmission"/>
      <sheetName val="TNMP Transmission"/>
      <sheetName val="AEP-TCC Transmission"/>
      <sheetName val="AEP-TNC Transmission"/>
      <sheetName val="LPL Transmission"/>
      <sheetName val="AutoButtons"/>
    </sheetNames>
    <sheetDataSet>
      <sheetData sheetId="0">
        <row r="4">
          <cell r="A4">
            <v>46082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15BC-5987-4D6C-94E1-B5FBFE891BF8}">
  <sheetPr codeName="Sheet5">
    <tabColor indexed="45"/>
    <pageSetUpPr fitToPage="1"/>
  </sheetPr>
  <dimension ref="A1:U295"/>
  <sheetViews>
    <sheetView tabSelected="1" zoomScaleNormal="100" workbookViewId="0">
      <pane ySplit="5" topLeftCell="A6" activePane="bottomLeft" state="frozen"/>
      <selection sqref="A1:J24"/>
      <selection pane="bottomLeft" activeCell="C5" sqref="C5"/>
    </sheetView>
  </sheetViews>
  <sheetFormatPr defaultRowHeight="12.75" x14ac:dyDescent="0.2"/>
  <cols>
    <col min="1" max="1" width="14" style="1" customWidth="1"/>
    <col min="2" max="2" width="40.7109375" style="1" customWidth="1"/>
    <col min="3" max="3" width="9.7109375" style="2" bestFit="1" customWidth="1"/>
    <col min="4" max="4" width="45.42578125" style="1" bestFit="1" customWidth="1"/>
    <col min="5" max="5" width="12.28515625" style="3" customWidth="1"/>
    <col min="6" max="6" width="11.42578125" style="2" customWidth="1"/>
    <col min="7" max="7" width="10" style="2" bestFit="1" customWidth="1"/>
    <col min="8" max="8" width="10.28515625" style="2" bestFit="1" customWidth="1"/>
    <col min="9" max="9" width="13.5703125" style="5" customWidth="1"/>
    <col min="10" max="10" width="13.5703125" style="5" bestFit="1" customWidth="1"/>
    <col min="11" max="11" width="13.5703125" style="5" customWidth="1"/>
    <col min="12" max="12" width="13.5703125" style="5" bestFit="1" customWidth="1"/>
    <col min="13" max="18" width="13.5703125" style="6" bestFit="1" customWidth="1"/>
    <col min="19" max="19" width="13" style="7" bestFit="1" customWidth="1"/>
    <col min="20" max="20" width="13.5703125" style="7" bestFit="1" customWidth="1"/>
    <col min="21" max="21" width="1.7109375" bestFit="1" customWidth="1"/>
    <col min="23" max="23" width="12" customWidth="1"/>
    <col min="24" max="24" width="17.5703125" customWidth="1"/>
  </cols>
  <sheetData>
    <row r="1" spans="1:21" ht="13.5" thickBot="1" x14ac:dyDescent="0.25">
      <c r="I1" s="4"/>
    </row>
    <row r="2" spans="1:21" ht="13.5" thickBot="1" x14ac:dyDescent="0.25">
      <c r="A2" s="8" t="s">
        <v>0</v>
      </c>
      <c r="D2" s="9" t="str">
        <f>_xlfn.CONCAT("Year ",YEAR('[1]Tracker at a glance'!$A$4))</f>
        <v>Year 2026</v>
      </c>
      <c r="I2" s="9"/>
      <c r="J2" s="9"/>
      <c r="K2" s="9"/>
      <c r="L2" s="9"/>
    </row>
    <row r="3" spans="1:21" ht="12.75" customHeight="1" thickBot="1" x14ac:dyDescent="0.25">
      <c r="A3" s="10" t="s">
        <v>1</v>
      </c>
      <c r="B3" s="11" t="s">
        <v>2</v>
      </c>
    </row>
    <row r="4" spans="1:21" x14ac:dyDescent="0.2">
      <c r="A4" s="12"/>
      <c r="E4" s="13"/>
      <c r="F4" s="14" t="s">
        <v>3</v>
      </c>
      <c r="G4" s="15"/>
      <c r="H4" s="16"/>
    </row>
    <row r="5" spans="1:21" s="22" customFormat="1" ht="38.25" x14ac:dyDescent="0.2">
      <c r="A5" s="17" t="s">
        <v>4</v>
      </c>
      <c r="B5" s="17" t="s">
        <v>5</v>
      </c>
      <c r="C5" s="18" t="s">
        <v>6</v>
      </c>
      <c r="D5" s="17" t="s">
        <v>7</v>
      </c>
      <c r="E5" s="19" t="s">
        <v>8</v>
      </c>
      <c r="F5" s="20" t="s">
        <v>9</v>
      </c>
      <c r="G5" s="20" t="s">
        <v>10</v>
      </c>
      <c r="H5" s="20" t="s">
        <v>6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</row>
    <row r="6" spans="1:21" x14ac:dyDescent="0.2">
      <c r="A6" s="23"/>
      <c r="B6" s="24" t="s">
        <v>23</v>
      </c>
      <c r="C6" s="18"/>
      <c r="D6" s="23"/>
      <c r="E6" s="25"/>
      <c r="F6" s="26"/>
      <c r="G6" s="26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1" ht="28.15" customHeight="1" x14ac:dyDescent="0.2">
      <c r="A7" s="28" t="s">
        <v>24</v>
      </c>
      <c r="B7" s="28" t="s">
        <v>25</v>
      </c>
      <c r="C7" s="29">
        <v>38929</v>
      </c>
      <c r="D7" s="28"/>
      <c r="E7" s="30">
        <v>1.48</v>
      </c>
      <c r="F7" s="31" t="s">
        <v>26</v>
      </c>
      <c r="G7" s="32" t="s">
        <v>27</v>
      </c>
      <c r="H7" s="32">
        <v>58306</v>
      </c>
      <c r="I7" s="33">
        <v>1.43</v>
      </c>
      <c r="J7" s="34">
        <v>1.43</v>
      </c>
      <c r="K7" s="35">
        <v>1.43</v>
      </c>
      <c r="L7" s="34"/>
      <c r="M7" s="36"/>
      <c r="N7" s="34"/>
      <c r="O7" s="34"/>
      <c r="P7" s="34"/>
      <c r="Q7" s="34"/>
      <c r="R7" s="35"/>
      <c r="S7" s="34"/>
      <c r="T7" s="33">
        <v>1.43</v>
      </c>
    </row>
    <row r="8" spans="1:21" ht="28.15" customHeight="1" x14ac:dyDescent="0.2">
      <c r="A8" s="28" t="s">
        <v>28</v>
      </c>
      <c r="B8" s="28" t="s">
        <v>29</v>
      </c>
      <c r="C8" s="29">
        <v>38929</v>
      </c>
      <c r="D8" s="28"/>
      <c r="E8" s="37">
        <v>2.58</v>
      </c>
      <c r="F8" s="31" t="s">
        <v>26</v>
      </c>
      <c r="G8" s="32" t="s">
        <v>30</v>
      </c>
      <c r="H8" s="32">
        <v>58306</v>
      </c>
      <c r="I8" s="33">
        <v>2.8</v>
      </c>
      <c r="J8" s="34">
        <v>2.8</v>
      </c>
      <c r="K8" s="35">
        <v>2.8</v>
      </c>
      <c r="L8" s="34"/>
      <c r="M8" s="36"/>
      <c r="N8" s="34"/>
      <c r="O8" s="34"/>
      <c r="P8" s="34"/>
      <c r="Q8" s="34"/>
      <c r="R8" s="35"/>
      <c r="S8" s="34"/>
      <c r="T8" s="33">
        <v>2.8</v>
      </c>
    </row>
    <row r="9" spans="1:21" x14ac:dyDescent="0.2">
      <c r="A9" s="38"/>
      <c r="B9" s="38"/>
      <c r="C9" s="39"/>
      <c r="D9" s="38"/>
      <c r="E9" s="40"/>
      <c r="F9" s="39"/>
      <c r="G9" s="39"/>
      <c r="H9" s="39"/>
      <c r="I9" s="6"/>
      <c r="J9" s="6"/>
      <c r="K9" s="41"/>
      <c r="L9" s="6"/>
      <c r="S9" s="6"/>
      <c r="T9" s="6"/>
      <c r="U9" s="42"/>
    </row>
    <row r="10" spans="1:21" x14ac:dyDescent="0.2">
      <c r="A10" s="43"/>
      <c r="B10" s="17" t="s">
        <v>31</v>
      </c>
      <c r="C10" s="18"/>
      <c r="D10" s="43"/>
      <c r="E10" s="25"/>
      <c r="F10" s="26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1:21" ht="33.75" customHeight="1" x14ac:dyDescent="0.2">
      <c r="A11" s="28" t="s">
        <v>32</v>
      </c>
      <c r="B11" s="28" t="s">
        <v>33</v>
      </c>
      <c r="C11" s="29">
        <v>49314</v>
      </c>
      <c r="D11" s="28" t="s">
        <v>34</v>
      </c>
      <c r="E11" s="44">
        <v>0</v>
      </c>
      <c r="F11" s="45"/>
      <c r="G11" s="32"/>
      <c r="H11" s="32"/>
      <c r="I11" s="46">
        <v>0</v>
      </c>
      <c r="J11" s="47">
        <v>0</v>
      </c>
      <c r="K11" s="48">
        <v>0</v>
      </c>
      <c r="L11" s="47"/>
      <c r="M11" s="46"/>
      <c r="N11" s="46"/>
      <c r="O11" s="47"/>
      <c r="P11" s="47"/>
      <c r="Q11" s="47"/>
      <c r="R11" s="47"/>
      <c r="S11" s="47"/>
      <c r="T11" s="47">
        <v>0</v>
      </c>
    </row>
    <row r="12" spans="1:21" ht="28.15" customHeight="1" x14ac:dyDescent="0.2">
      <c r="A12" s="28" t="s">
        <v>35</v>
      </c>
      <c r="B12" s="28" t="s">
        <v>36</v>
      </c>
      <c r="C12" s="29">
        <v>38929</v>
      </c>
      <c r="D12" s="28"/>
      <c r="E12" s="44">
        <v>0</v>
      </c>
      <c r="F12" s="45"/>
      <c r="G12" s="32"/>
      <c r="H12" s="32"/>
      <c r="I12" s="46">
        <v>0</v>
      </c>
      <c r="J12" s="46">
        <v>0</v>
      </c>
      <c r="K12" s="49">
        <v>0</v>
      </c>
      <c r="L12" s="46"/>
      <c r="M12" s="46"/>
      <c r="N12" s="46"/>
      <c r="O12" s="46"/>
      <c r="P12" s="46"/>
      <c r="Q12" s="46"/>
      <c r="R12" s="46"/>
      <c r="S12" s="46"/>
      <c r="T12" s="46">
        <v>0</v>
      </c>
    </row>
    <row r="13" spans="1:21" ht="28.15" customHeight="1" x14ac:dyDescent="0.2">
      <c r="A13" s="28" t="s">
        <v>37</v>
      </c>
      <c r="B13" s="28" t="s">
        <v>38</v>
      </c>
      <c r="C13" s="29">
        <v>53601</v>
      </c>
      <c r="D13" s="50" t="s">
        <v>39</v>
      </c>
      <c r="E13" s="51">
        <v>8.6000000000000003E-5</v>
      </c>
      <c r="F13" s="31" t="s">
        <v>26</v>
      </c>
      <c r="G13" s="32" t="s">
        <v>27</v>
      </c>
      <c r="H13" s="32">
        <v>58306</v>
      </c>
      <c r="I13" s="46">
        <v>0</v>
      </c>
      <c r="J13" s="46">
        <v>0</v>
      </c>
      <c r="K13" s="49">
        <v>0</v>
      </c>
      <c r="L13" s="46"/>
      <c r="M13" s="52"/>
      <c r="N13" s="46"/>
      <c r="O13" s="46"/>
      <c r="P13" s="46"/>
      <c r="Q13" s="46"/>
      <c r="R13" s="49"/>
      <c r="S13" s="49"/>
      <c r="T13" s="46">
        <v>0</v>
      </c>
    </row>
    <row r="14" spans="1:21" ht="28.15" customHeight="1" x14ac:dyDescent="0.2">
      <c r="A14" s="28" t="s">
        <v>40</v>
      </c>
      <c r="B14" s="28" t="s">
        <v>41</v>
      </c>
      <c r="C14" s="29">
        <v>38929</v>
      </c>
      <c r="D14" s="28"/>
      <c r="E14" s="53">
        <v>3.6042999999999999E-2</v>
      </c>
      <c r="F14" s="31" t="s">
        <v>26</v>
      </c>
      <c r="G14" s="32" t="s">
        <v>30</v>
      </c>
      <c r="H14" s="32">
        <v>58306</v>
      </c>
      <c r="I14" s="46">
        <v>2.5343999999999998E-2</v>
      </c>
      <c r="J14" s="46">
        <v>2.5343999999999998E-2</v>
      </c>
      <c r="K14" s="49">
        <v>2.5343999999999998E-2</v>
      </c>
      <c r="L14" s="46"/>
      <c r="M14" s="52"/>
      <c r="N14" s="46"/>
      <c r="O14" s="46"/>
      <c r="P14" s="46"/>
      <c r="Q14" s="46"/>
      <c r="R14" s="49"/>
      <c r="S14" s="46"/>
      <c r="T14" s="46">
        <v>2.5343999999999998E-2</v>
      </c>
    </row>
    <row r="15" spans="1:21" ht="28.15" customHeight="1" x14ac:dyDescent="0.2">
      <c r="A15" s="28" t="s">
        <v>42</v>
      </c>
      <c r="B15" s="28" t="s">
        <v>43</v>
      </c>
      <c r="C15" s="29">
        <v>23921</v>
      </c>
      <c r="D15" s="28"/>
      <c r="E15" s="54">
        <v>0</v>
      </c>
      <c r="F15" s="55"/>
      <c r="G15" s="56"/>
      <c r="H15" s="56"/>
      <c r="I15" s="46">
        <v>0</v>
      </c>
      <c r="J15" s="46">
        <v>0</v>
      </c>
      <c r="K15" s="49">
        <v>0</v>
      </c>
      <c r="L15" s="46"/>
      <c r="M15" s="46"/>
      <c r="N15" s="46"/>
      <c r="O15" s="46"/>
      <c r="P15" s="46"/>
      <c r="Q15" s="46"/>
      <c r="R15" s="49"/>
      <c r="S15" s="46"/>
      <c r="T15" s="49">
        <v>0</v>
      </c>
    </row>
    <row r="16" spans="1:21" ht="28.15" customHeight="1" x14ac:dyDescent="0.2">
      <c r="A16" s="57" t="s">
        <v>44</v>
      </c>
      <c r="B16" s="28" t="s">
        <v>45</v>
      </c>
      <c r="C16" s="29">
        <v>48231</v>
      </c>
      <c r="D16" s="58" t="s">
        <v>46</v>
      </c>
      <c r="E16" s="59">
        <v>0</v>
      </c>
      <c r="F16" s="31" t="s">
        <v>26</v>
      </c>
      <c r="G16" s="32" t="s">
        <v>27</v>
      </c>
      <c r="H16" s="32">
        <v>58306</v>
      </c>
      <c r="I16" s="46">
        <v>5.7720000000000002E-3</v>
      </c>
      <c r="J16" s="46">
        <v>5.7720000000000002E-3</v>
      </c>
      <c r="K16" s="49">
        <v>5.7720000000000002E-3</v>
      </c>
      <c r="L16" s="46"/>
      <c r="M16" s="52"/>
      <c r="N16" s="46"/>
      <c r="O16" s="46"/>
      <c r="P16" s="46"/>
      <c r="Q16" s="49"/>
      <c r="R16" s="49"/>
      <c r="S16" s="46"/>
      <c r="T16" s="49">
        <v>5.7720000000000002E-3</v>
      </c>
    </row>
    <row r="17" spans="1:21" ht="28.15" customHeight="1" x14ac:dyDescent="0.2">
      <c r="A17" s="28" t="s">
        <v>47</v>
      </c>
      <c r="B17" s="28" t="s">
        <v>48</v>
      </c>
      <c r="C17" s="29">
        <v>48231</v>
      </c>
      <c r="D17" s="58" t="s">
        <v>49</v>
      </c>
      <c r="E17" s="59">
        <v>0</v>
      </c>
      <c r="F17" s="45"/>
      <c r="G17" s="32"/>
      <c r="H17" s="32"/>
      <c r="I17" s="46">
        <v>0</v>
      </c>
      <c r="J17" s="46">
        <v>0</v>
      </c>
      <c r="K17" s="49">
        <v>0</v>
      </c>
      <c r="L17" s="46"/>
      <c r="M17" s="46"/>
      <c r="N17" s="46"/>
      <c r="O17" s="46"/>
      <c r="P17" s="46"/>
      <c r="Q17" s="46"/>
      <c r="R17" s="46"/>
      <c r="S17" s="46"/>
      <c r="T17" s="60">
        <v>1.0269999999999999E-3</v>
      </c>
    </row>
    <row r="18" spans="1:21" ht="27.75" customHeight="1" x14ac:dyDescent="0.2">
      <c r="A18" s="28" t="s">
        <v>50</v>
      </c>
      <c r="B18" s="28" t="s">
        <v>51</v>
      </c>
      <c r="C18" s="29">
        <v>39940</v>
      </c>
      <c r="D18" s="28" t="s">
        <v>52</v>
      </c>
      <c r="E18" s="61">
        <v>1.9046E-2</v>
      </c>
      <c r="F18" s="55" t="s">
        <v>53</v>
      </c>
      <c r="G18" s="32" t="s">
        <v>27</v>
      </c>
      <c r="H18" s="32">
        <v>59046</v>
      </c>
      <c r="I18" s="46">
        <v>2.358E-2</v>
      </c>
      <c r="J18" s="46">
        <v>2.358E-2</v>
      </c>
      <c r="K18" s="49">
        <v>2.358E-2</v>
      </c>
      <c r="L18" s="46"/>
      <c r="M18" s="46"/>
      <c r="N18" s="46"/>
      <c r="O18" s="46"/>
      <c r="P18" s="46"/>
      <c r="Q18" s="52"/>
      <c r="R18" s="46"/>
      <c r="S18" s="46"/>
      <c r="T18" s="46">
        <v>2.358E-2</v>
      </c>
    </row>
    <row r="19" spans="1:21" ht="28.5" customHeight="1" x14ac:dyDescent="0.2">
      <c r="A19" s="28" t="s">
        <v>54</v>
      </c>
      <c r="B19" s="28" t="s">
        <v>55</v>
      </c>
      <c r="C19" s="29">
        <v>39375</v>
      </c>
      <c r="D19" s="28" t="s">
        <v>56</v>
      </c>
      <c r="E19" s="62">
        <v>1.487E-3</v>
      </c>
      <c r="F19" s="45">
        <v>46082</v>
      </c>
      <c r="G19" s="32" t="s">
        <v>57</v>
      </c>
      <c r="H19" s="32">
        <v>58182</v>
      </c>
      <c r="I19" s="46">
        <v>1.137E-3</v>
      </c>
      <c r="J19" s="46">
        <v>1.137E-3</v>
      </c>
      <c r="K19" s="52">
        <v>1.487E-3</v>
      </c>
      <c r="L19" s="46"/>
      <c r="M19" s="46"/>
      <c r="N19" s="46"/>
      <c r="O19" s="46"/>
      <c r="P19" s="46"/>
      <c r="Q19" s="46"/>
      <c r="R19" s="46"/>
      <c r="S19" s="46"/>
      <c r="T19" s="46">
        <v>1.137E-3</v>
      </c>
    </row>
    <row r="20" spans="1:21" ht="27" customHeight="1" thickBot="1" x14ac:dyDescent="0.25">
      <c r="A20" s="22"/>
      <c r="C20" s="63"/>
      <c r="D20" s="64" t="s">
        <v>58</v>
      </c>
      <c r="E20" s="65"/>
      <c r="F20" s="66"/>
      <c r="G20" s="66"/>
      <c r="H20" s="6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t="s">
        <v>59</v>
      </c>
    </row>
    <row r="21" spans="1:21" ht="19.5" customHeight="1" thickBot="1" x14ac:dyDescent="0.25">
      <c r="A21" s="67"/>
      <c r="D21" s="68" t="s">
        <v>60</v>
      </c>
      <c r="E21" s="69"/>
      <c r="F21" s="66"/>
      <c r="G21" s="66"/>
      <c r="H21" s="66"/>
      <c r="I21" s="70">
        <f t="shared" ref="I21:T21" si="0">SUM(I7:I8)</f>
        <v>4.2299999999999995</v>
      </c>
      <c r="J21" s="70">
        <f t="shared" si="0"/>
        <v>4.2299999999999995</v>
      </c>
      <c r="K21" s="70">
        <f t="shared" si="0"/>
        <v>4.2299999999999995</v>
      </c>
      <c r="L21" s="70">
        <f t="shared" si="0"/>
        <v>0</v>
      </c>
      <c r="M21" s="70">
        <f t="shared" si="0"/>
        <v>0</v>
      </c>
      <c r="N21" s="70">
        <f t="shared" si="0"/>
        <v>0</v>
      </c>
      <c r="O21" s="70">
        <f t="shared" si="0"/>
        <v>0</v>
      </c>
      <c r="P21" s="70">
        <f t="shared" si="0"/>
        <v>0</v>
      </c>
      <c r="Q21" s="70">
        <f t="shared" si="0"/>
        <v>0</v>
      </c>
      <c r="R21" s="70">
        <f t="shared" si="0"/>
        <v>0</v>
      </c>
      <c r="S21" s="70">
        <f t="shared" si="0"/>
        <v>0</v>
      </c>
      <c r="T21" s="70">
        <f t="shared" si="0"/>
        <v>4.2299999999999995</v>
      </c>
    </row>
    <row r="22" spans="1:21" ht="19.5" customHeight="1" thickBot="1" x14ac:dyDescent="0.25">
      <c r="A22"/>
      <c r="D22" s="68" t="s">
        <v>61</v>
      </c>
      <c r="E22" s="71"/>
      <c r="F22" s="72"/>
      <c r="G22" s="73"/>
      <c r="H22" s="73"/>
      <c r="I22" s="74">
        <f t="shared" ref="I22:T22" si="1">SUM(I11:I19)</f>
        <v>5.5832999999999994E-2</v>
      </c>
      <c r="J22" s="74">
        <f t="shared" si="1"/>
        <v>5.5832999999999994E-2</v>
      </c>
      <c r="K22" s="74">
        <f t="shared" si="1"/>
        <v>5.6182999999999997E-2</v>
      </c>
      <c r="L22" s="74">
        <f t="shared" si="1"/>
        <v>0</v>
      </c>
      <c r="M22" s="74">
        <f t="shared" si="1"/>
        <v>0</v>
      </c>
      <c r="N22" s="74">
        <f t="shared" si="1"/>
        <v>0</v>
      </c>
      <c r="O22" s="74">
        <f t="shared" si="1"/>
        <v>0</v>
      </c>
      <c r="P22" s="74">
        <f t="shared" si="1"/>
        <v>0</v>
      </c>
      <c r="Q22" s="74">
        <f t="shared" si="1"/>
        <v>0</v>
      </c>
      <c r="R22" s="74">
        <f t="shared" si="1"/>
        <v>0</v>
      </c>
      <c r="S22" s="74">
        <f t="shared" si="1"/>
        <v>0</v>
      </c>
      <c r="T22" s="74">
        <f t="shared" si="1"/>
        <v>5.6859999999999994E-2</v>
      </c>
    </row>
    <row r="23" spans="1:21" x14ac:dyDescent="0.2">
      <c r="A23"/>
    </row>
    <row r="24" spans="1:21" x14ac:dyDescent="0.2">
      <c r="A24"/>
      <c r="D24" s="1" t="s">
        <v>59</v>
      </c>
      <c r="L24" s="75"/>
      <c r="M24" s="75"/>
    </row>
    <row r="25" spans="1:21" x14ac:dyDescent="0.2">
      <c r="I25" s="6"/>
      <c r="L25" s="75"/>
      <c r="M25" s="75"/>
      <c r="N25" s="75"/>
    </row>
    <row r="27" spans="1:21" x14ac:dyDescent="0.2">
      <c r="P27" s="76" t="s">
        <v>59</v>
      </c>
    </row>
    <row r="257" spans="1:8" x14ac:dyDescent="0.2">
      <c r="D257" s="12">
        <v>45162</v>
      </c>
    </row>
    <row r="258" spans="1:8" ht="63.75" x14ac:dyDescent="0.2">
      <c r="A258" s="77"/>
      <c r="B258" s="77"/>
      <c r="C258" s="78">
        <v>55190</v>
      </c>
      <c r="D258" s="79">
        <v>45162</v>
      </c>
      <c r="E258" s="80"/>
      <c r="F258" s="78" t="s">
        <v>18</v>
      </c>
      <c r="H258" s="2" t="s">
        <v>62</v>
      </c>
    </row>
    <row r="263" spans="1:8" ht="76.5" x14ac:dyDescent="0.2">
      <c r="A263" s="77"/>
      <c r="B263" s="77"/>
      <c r="C263" s="78">
        <v>55190</v>
      </c>
      <c r="D263" s="79">
        <v>45170</v>
      </c>
      <c r="E263" s="80"/>
      <c r="F263" s="78" t="s">
        <v>18</v>
      </c>
      <c r="H263" s="2" t="s">
        <v>63</v>
      </c>
    </row>
    <row r="295" spans="5:5" x14ac:dyDescent="0.2">
      <c r="E295" s="81">
        <v>45484</v>
      </c>
    </row>
  </sheetData>
  <pageMargins left="0.75" right="0.75" top="1" bottom="1" header="0.5" footer="0.5"/>
  <pageSetup orientation="landscape" blackAndWhite="1" r:id="rId1"/>
  <headerFooter alignWithMargins="0">
    <oddFooter xml:space="preserve">&amp;L_x000D_&amp;1#&amp;"Calibri"&amp;10&amp;K000000 Internal Use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Oncor Res</vt:lpstr>
      <vt:lpstr>'Oncor Res'!Print_Area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Wilburn, Drew</dc:creator>
  <cp:lastModifiedBy>Wilburn, Drew</cp:lastModifiedBy>
  <dcterms:created xsi:type="dcterms:W3CDTF">2026-03-08T00:29:50Z</dcterms:created>
  <dcterms:modified xsi:type="dcterms:W3CDTF">2026-03-08T00:30:26Z</dcterms:modified>
</cp:coreProperties>
</file>